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13_ncr:1_{5FB11F8F-46D5-4291-A749-EF1B660649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mber's Contribution" sheetId="2" r:id="rId1"/>
    <sheet name="Repair Fund" sheetId="1" state="hidden" r:id="rId2"/>
  </sheets>
  <definedNames>
    <definedName name="_xlnm._FilterDatabase" localSheetId="0" hidden="1">'Member''s Contribution'!$A$4:$O$34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5" i="2"/>
  <c r="S34" i="2"/>
  <c r="R34" i="2"/>
  <c r="Q34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Q12" i="2"/>
  <c r="R12" i="2"/>
  <c r="S12" i="2"/>
  <c r="Q13" i="2"/>
  <c r="R13" i="2"/>
  <c r="S13" i="2"/>
  <c r="Q14" i="2"/>
  <c r="R14" i="2"/>
  <c r="S14" i="2"/>
  <c r="Q15" i="2"/>
  <c r="R15" i="2"/>
  <c r="S15" i="2"/>
  <c r="Q16" i="2"/>
  <c r="R16" i="2"/>
  <c r="S16" i="2"/>
  <c r="Q17" i="2"/>
  <c r="R17" i="2"/>
  <c r="S17" i="2"/>
  <c r="Q18" i="2"/>
  <c r="R18" i="2"/>
  <c r="S18" i="2"/>
  <c r="Q19" i="2"/>
  <c r="R19" i="2"/>
  <c r="S19" i="2"/>
  <c r="Q20" i="2"/>
  <c r="R20" i="2"/>
  <c r="S20" i="2"/>
  <c r="Q21" i="2"/>
  <c r="R21" i="2"/>
  <c r="S21" i="2"/>
  <c r="Q22" i="2"/>
  <c r="R22" i="2"/>
  <c r="S22" i="2"/>
  <c r="Q23" i="2"/>
  <c r="R23" i="2"/>
  <c r="S23" i="2"/>
  <c r="Q24" i="2"/>
  <c r="R24" i="2"/>
  <c r="S24" i="2"/>
  <c r="Q25" i="2"/>
  <c r="R25" i="2"/>
  <c r="S25" i="2"/>
  <c r="Q26" i="2"/>
  <c r="R26" i="2"/>
  <c r="S26" i="2"/>
  <c r="Q27" i="2"/>
  <c r="R27" i="2"/>
  <c r="S27" i="2"/>
  <c r="Q28" i="2"/>
  <c r="R28" i="2"/>
  <c r="S28" i="2"/>
  <c r="Q29" i="2"/>
  <c r="R29" i="2"/>
  <c r="S29" i="2"/>
  <c r="Q30" i="2"/>
  <c r="R30" i="2"/>
  <c r="S30" i="2"/>
  <c r="Q31" i="2"/>
  <c r="R31" i="2"/>
  <c r="S31" i="2"/>
  <c r="Q32" i="2"/>
  <c r="R32" i="2"/>
  <c r="S32" i="2"/>
  <c r="Q33" i="2"/>
  <c r="R33" i="2"/>
  <c r="S33" i="2"/>
  <c r="S5" i="2"/>
  <c r="R5" i="2"/>
  <c r="Q5" i="2"/>
  <c r="E31" i="2"/>
  <c r="F31" i="2"/>
  <c r="G31" i="2"/>
  <c r="E17" i="2"/>
  <c r="M17" i="2" s="1"/>
  <c r="F17" i="2"/>
  <c r="G17" i="2"/>
  <c r="E6" i="2"/>
  <c r="M6" i="2" s="1"/>
  <c r="F6" i="2"/>
  <c r="G6" i="2"/>
  <c r="E5" i="2"/>
  <c r="F5" i="2"/>
  <c r="G5" i="2"/>
  <c r="E16" i="2"/>
  <c r="F16" i="2"/>
  <c r="G16" i="2"/>
  <c r="J34" i="2"/>
  <c r="E23" i="2"/>
  <c r="F23" i="2"/>
  <c r="G23" i="2"/>
  <c r="F33" i="2"/>
  <c r="F32" i="2"/>
  <c r="M32" i="2" s="1"/>
  <c r="F30" i="2"/>
  <c r="F29" i="2"/>
  <c r="F28" i="2"/>
  <c r="F27" i="2"/>
  <c r="F26" i="2"/>
  <c r="F25" i="2"/>
  <c r="F24" i="2"/>
  <c r="F22" i="2"/>
  <c r="F21" i="2"/>
  <c r="M21" i="2" s="1"/>
  <c r="F20" i="2"/>
  <c r="F19" i="2"/>
  <c r="F18" i="2"/>
  <c r="F14" i="2"/>
  <c r="F13" i="2"/>
  <c r="F12" i="2"/>
  <c r="F11" i="2"/>
  <c r="M11" i="2" s="1"/>
  <c r="F10" i="2"/>
  <c r="M10" i="2" s="1"/>
  <c r="F9" i="2"/>
  <c r="F8" i="2"/>
  <c r="F7" i="2"/>
  <c r="F15" i="2"/>
  <c r="I14" i="2"/>
  <c r="L34" i="2"/>
  <c r="D34" i="2"/>
  <c r="K34" i="2"/>
  <c r="G33" i="2"/>
  <c r="E33" i="2"/>
  <c r="G32" i="2"/>
  <c r="E32" i="2"/>
  <c r="G30" i="2"/>
  <c r="E30" i="2"/>
  <c r="G29" i="2"/>
  <c r="E29" i="2"/>
  <c r="M29" i="2" s="1"/>
  <c r="G28" i="2"/>
  <c r="E28" i="2"/>
  <c r="G27" i="2"/>
  <c r="E27" i="2"/>
  <c r="I26" i="2"/>
  <c r="G26" i="2"/>
  <c r="E26" i="2"/>
  <c r="G25" i="2"/>
  <c r="M25" i="2" s="1"/>
  <c r="N25" i="2" s="1"/>
  <c r="O25" i="2" s="1"/>
  <c r="E25" i="2"/>
  <c r="G24" i="2"/>
  <c r="E24" i="2"/>
  <c r="G22" i="2"/>
  <c r="E22" i="2"/>
  <c r="G21" i="2"/>
  <c r="E21" i="2"/>
  <c r="G20" i="2"/>
  <c r="E20" i="2"/>
  <c r="I19" i="2"/>
  <c r="G19" i="2"/>
  <c r="E19" i="2"/>
  <c r="G18" i="2"/>
  <c r="E18" i="2"/>
  <c r="M18" i="2" s="1"/>
  <c r="I15" i="2"/>
  <c r="G15" i="2"/>
  <c r="G34" i="2" s="1"/>
  <c r="E15" i="2"/>
  <c r="G14" i="2"/>
  <c r="E14" i="2"/>
  <c r="G13" i="2"/>
  <c r="E13" i="2"/>
  <c r="G12" i="2"/>
  <c r="E12" i="2"/>
  <c r="M12" i="2" s="1"/>
  <c r="I11" i="2"/>
  <c r="I34" i="2" s="1"/>
  <c r="G11" i="2"/>
  <c r="E11" i="2"/>
  <c r="G10" i="2"/>
  <c r="E10" i="2"/>
  <c r="G9" i="2"/>
  <c r="E9" i="2"/>
  <c r="M9" i="2" s="1"/>
  <c r="G8" i="2"/>
  <c r="E8" i="2"/>
  <c r="M8" i="2" s="1"/>
  <c r="G7" i="2"/>
  <c r="E7" i="2"/>
  <c r="M7" i="2"/>
  <c r="M27" i="2"/>
  <c r="N27" i="2" s="1"/>
  <c r="O27" i="2" s="1"/>
  <c r="H34" i="2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E38" i="1"/>
  <c r="D38" i="1"/>
  <c r="E40" i="1"/>
  <c r="D40" i="1"/>
  <c r="N6" i="2" l="1"/>
  <c r="O6" i="2" s="1"/>
  <c r="N29" i="2"/>
  <c r="O29" i="2" s="1"/>
  <c r="N12" i="2"/>
  <c r="O12" i="2" s="1"/>
  <c r="N11" i="2"/>
  <c r="O11" i="2" s="1"/>
  <c r="N18" i="2"/>
  <c r="O18" i="2" s="1"/>
  <c r="F34" i="2"/>
  <c r="M15" i="2"/>
  <c r="N15" i="2" s="1"/>
  <c r="O15" i="2" s="1"/>
  <c r="M22" i="2"/>
  <c r="N22" i="2" s="1"/>
  <c r="O22" i="2" s="1"/>
  <c r="M14" i="2"/>
  <c r="M23" i="2"/>
  <c r="O7" i="2"/>
  <c r="N7" i="2"/>
  <c r="M20" i="2"/>
  <c r="M16" i="2"/>
  <c r="M31" i="2"/>
  <c r="N21" i="2"/>
  <c r="O21" i="2"/>
  <c r="N9" i="2"/>
  <c r="O9" i="2" s="1"/>
  <c r="N23" i="2"/>
  <c r="O23" i="2" s="1"/>
  <c r="N17" i="2"/>
  <c r="O17" i="2" s="1"/>
  <c r="N16" i="2"/>
  <c r="O16" i="2" s="1"/>
  <c r="N8" i="2"/>
  <c r="O8" i="2" s="1"/>
  <c r="N14" i="2"/>
  <c r="O14" i="2" s="1"/>
  <c r="N10" i="2"/>
  <c r="O10" i="2" s="1"/>
  <c r="N32" i="2"/>
  <c r="O32" i="2"/>
  <c r="N20" i="2"/>
  <c r="O20" i="2" s="1"/>
  <c r="N31" i="2"/>
  <c r="O31" i="2" s="1"/>
  <c r="M19" i="2"/>
  <c r="M33" i="2"/>
  <c r="M28" i="2"/>
  <c r="M26" i="2"/>
  <c r="M5" i="2"/>
  <c r="E34" i="2"/>
  <c r="M13" i="2"/>
  <c r="M30" i="2"/>
  <c r="M24" i="2"/>
  <c r="N5" i="2" l="1"/>
  <c r="M34" i="2"/>
  <c r="N24" i="2"/>
  <c r="O24" i="2"/>
  <c r="N19" i="2"/>
  <c r="O19" i="2" s="1"/>
  <c r="N30" i="2"/>
  <c r="O30" i="2" s="1"/>
  <c r="N13" i="2"/>
  <c r="O13" i="2"/>
  <c r="N26" i="2"/>
  <c r="O26" i="2" s="1"/>
  <c r="N28" i="2"/>
  <c r="O28" i="2" s="1"/>
  <c r="N33" i="2"/>
  <c r="O33" i="2" s="1"/>
  <c r="N34" i="2" l="1"/>
  <c r="O5" i="2"/>
  <c r="O34" i="2" s="1"/>
</calcChain>
</file>

<file path=xl/sharedStrings.xml><?xml version="1.0" encoding="utf-8"?>
<sst xmlns="http://schemas.openxmlformats.org/spreadsheetml/2006/main" count="101" uniqueCount="75">
  <si>
    <t>Room No.</t>
  </si>
  <si>
    <t>Name</t>
  </si>
  <si>
    <t>Pradnya S. Abhyankar</t>
  </si>
  <si>
    <t>V. Padmanabhan</t>
  </si>
  <si>
    <t>D.S.Khedekar</t>
  </si>
  <si>
    <t>Varsha Sanjay Joshi</t>
  </si>
  <si>
    <t>Sanjay D. Gala</t>
  </si>
  <si>
    <t>V.J. Wagle</t>
  </si>
  <si>
    <t>S.J.Desai</t>
  </si>
  <si>
    <t>V.S. Katkar</t>
  </si>
  <si>
    <t>Dr. A.B. Malagi</t>
  </si>
  <si>
    <t>M.N. Nehte</t>
  </si>
  <si>
    <t>P.N. Rane</t>
  </si>
  <si>
    <t>T.D. Mane</t>
  </si>
  <si>
    <t>Kedar M. Patankar</t>
  </si>
  <si>
    <t>Ashok D. Joshi</t>
  </si>
  <si>
    <t>D.D.Patil</t>
  </si>
  <si>
    <t>S.M. Patankar</t>
  </si>
  <si>
    <t>M.A. Ramnathkar</t>
  </si>
  <si>
    <t>A.A. Thakkar</t>
  </si>
  <si>
    <t>Pragati Narvekar</t>
  </si>
  <si>
    <t>H.T. Gawade</t>
  </si>
  <si>
    <t>Pravin S. Nipunge</t>
  </si>
  <si>
    <t>R.L. Barate</t>
  </si>
  <si>
    <t>A.V. Raut</t>
  </si>
  <si>
    <t>S.D. Gajendragadkar</t>
  </si>
  <si>
    <t>Sachin R. Mahajan</t>
  </si>
  <si>
    <t>Rajesh Shingare</t>
  </si>
  <si>
    <t>001</t>
  </si>
  <si>
    <t>002</t>
  </si>
  <si>
    <t>003</t>
  </si>
  <si>
    <t>004</t>
  </si>
  <si>
    <t>005</t>
  </si>
  <si>
    <t>006</t>
  </si>
  <si>
    <t>105/106</t>
  </si>
  <si>
    <t>S.K. Mallaiya</t>
  </si>
  <si>
    <t>Area in   Square Ft.</t>
  </si>
  <si>
    <t>Total Repair Fund Rs.</t>
  </si>
  <si>
    <t>Shivkrupasagar Co - op Housing Society Ltd.</t>
  </si>
  <si>
    <t>Total</t>
  </si>
  <si>
    <t>Sinking Fund</t>
  </si>
  <si>
    <t>Municipal Tax</t>
  </si>
  <si>
    <t>NOC</t>
  </si>
  <si>
    <t>Parking Charges</t>
  </si>
  <si>
    <t>SHIVKRUPASAGAR CO OP HOUSING SOCIETY LTD</t>
  </si>
  <si>
    <t>TOTAL</t>
  </si>
  <si>
    <t xml:space="preserve">Delay Charges </t>
  </si>
  <si>
    <t>Building Fund</t>
  </si>
  <si>
    <t>G.V. Kunte</t>
  </si>
  <si>
    <t>Total Receivable for the year</t>
  </si>
  <si>
    <t>(Amounts in Rs.)</t>
  </si>
  <si>
    <t>U.J. Wagle</t>
  </si>
  <si>
    <t>Repair Fund per Member to be paid before 28th February, 2017</t>
  </si>
  <si>
    <t xml:space="preserve">Maintenance </t>
  </si>
  <si>
    <t>Varsha Sanjiv Joshi</t>
  </si>
  <si>
    <t>M. Padmanabhan</t>
  </si>
  <si>
    <t>S.S. Gajendragadkar</t>
  </si>
  <si>
    <t xml:space="preserve">Total Received during the year </t>
  </si>
  <si>
    <t xml:space="preserve">Rajan D Khedekar
Prashant D Khedekar </t>
  </si>
  <si>
    <t>Nirmal A. Darji</t>
  </si>
  <si>
    <t>Shirish L. Barate</t>
  </si>
  <si>
    <t>Mahesh D. Bokare</t>
  </si>
  <si>
    <t>Rajesh G. Shingare</t>
  </si>
  <si>
    <t>TOTAL CONTRIBUTION FROM MEMBERS FOR THE YEAR 2024-2025</t>
  </si>
  <si>
    <t>Opening Balance 
 1-Apr-24</t>
  </si>
  <si>
    <t>Closing Balance 
31-Mar-25</t>
  </si>
  <si>
    <t>Sampada Chougule</t>
  </si>
  <si>
    <t>Mangesh Bhosale</t>
  </si>
  <si>
    <t>Sameer Dharamshi</t>
  </si>
  <si>
    <t>Room Transfer Fees</t>
  </si>
  <si>
    <t>Santosh Gholap</t>
  </si>
  <si>
    <t>Fixed Monthly Charges</t>
  </si>
  <si>
    <t>Annual Charges</t>
  </si>
  <si>
    <t>Variable Charges Charges</t>
  </si>
  <si>
    <t>Charges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</si>
</sst>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5" formatCode="_(* #,##0.00_);_(* \(#,##0.00\);_(* &quot;-&quot;??_);_(@_)"/>
    <numFmt numFmtId="166" formatCode="_(* #,##0.00000_);_(* \(#,##0.00000\);_(* &quot;-&quot;??_);_(@_)"/>
    <numFmt numFmtId="169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name val="Book Antiqua"/>
      <family val="1"/>
    </font>
    <font>
      <b/>
      <i/>
      <u/>
      <sz val="14"/>
      <name val="Book Antiqua"/>
      <family val="1"/>
    </font>
    <font>
      <b/>
      <sz val="13"/>
      <name val="Book Antiqua"/>
      <family val="1"/>
    </font>
    <font>
      <sz val="13"/>
      <name val="Book Antiqua"/>
      <family val="1"/>
    </font>
    <font>
      <b/>
      <sz val="11"/>
      <name val="Book Antiqua"/>
      <family val="1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sz val="10"/>
      <color theme="0"/>
      <name val="Cambria"/>
      <family val="1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/>
    </xf>
    <xf numFmtId="0" fontId="4" fillId="0" borderId="5" xfId="0" applyFont="1" applyBorder="1"/>
    <xf numFmtId="165" fontId="4" fillId="0" borderId="5" xfId="0" applyNumberFormat="1" applyFont="1" applyBorder="1" applyAlignment="1">
      <alignment horizontal="center"/>
    </xf>
    <xf numFmtId="165" fontId="4" fillId="0" borderId="5" xfId="0" applyNumberFormat="1" applyFont="1" applyBorder="1"/>
    <xf numFmtId="0" fontId="4" fillId="0" borderId="3" xfId="0" quotePrefix="1" applyFont="1" applyBorder="1" applyAlignment="1">
      <alignment horizontal="center"/>
    </xf>
    <xf numFmtId="0" fontId="4" fillId="0" borderId="3" xfId="0" applyFont="1" applyBorder="1"/>
    <xf numFmtId="165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165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5" fillId="0" borderId="0" xfId="0" applyFont="1"/>
    <xf numFmtId="166" fontId="1" fillId="0" borderId="0" xfId="0" applyNumberFormat="1" applyFont="1"/>
    <xf numFmtId="10" fontId="1" fillId="0" borderId="0" xfId="1" applyNumberFormat="1" applyFont="1" applyFill="1"/>
    <xf numFmtId="43" fontId="5" fillId="0" borderId="0" xfId="0" applyNumberFormat="1" applyFont="1"/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0" xfId="0" applyFont="1"/>
    <xf numFmtId="165" fontId="8" fillId="0" borderId="0" xfId="0" applyNumberFormat="1" applyFont="1"/>
    <xf numFmtId="0" fontId="9" fillId="0" borderId="0" xfId="0" applyFont="1"/>
    <xf numFmtId="0" fontId="8" fillId="0" borderId="0" xfId="0" applyFont="1"/>
    <xf numFmtId="0" fontId="9" fillId="0" borderId="8" xfId="0" applyFont="1" applyBorder="1"/>
    <xf numFmtId="0" fontId="8" fillId="0" borderId="8" xfId="0" applyFont="1" applyBorder="1"/>
    <xf numFmtId="0" fontId="10" fillId="2" borderId="9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1" fillId="0" borderId="11" xfId="0" quotePrefix="1" applyFont="1" applyBorder="1" applyAlignment="1">
      <alignment horizontal="center"/>
    </xf>
    <xf numFmtId="0" fontId="11" fillId="0" borderId="11" xfId="0" applyFont="1" applyBorder="1"/>
    <xf numFmtId="0" fontId="11" fillId="0" borderId="9" xfId="0" quotePrefix="1" applyFont="1" applyBorder="1" applyAlignment="1">
      <alignment horizontal="center"/>
    </xf>
    <xf numFmtId="0" fontId="11" fillId="0" borderId="9" xfId="0" applyFont="1" applyBorder="1"/>
    <xf numFmtId="0" fontId="11" fillId="0" borderId="9" xfId="0" quotePrefix="1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1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9" fontId="7" fillId="0" borderId="0" xfId="2" applyNumberFormat="1" applyFont="1"/>
    <xf numFmtId="169" fontId="8" fillId="0" borderId="0" xfId="2" applyNumberFormat="1" applyFont="1"/>
    <xf numFmtId="169" fontId="8" fillId="0" borderId="8" xfId="2" applyNumberFormat="1" applyFont="1" applyBorder="1"/>
    <xf numFmtId="169" fontId="8" fillId="0" borderId="0" xfId="2" applyNumberFormat="1" applyFont="1" applyAlignment="1">
      <alignment horizontal="right"/>
    </xf>
    <xf numFmtId="169" fontId="8" fillId="0" borderId="9" xfId="2" applyNumberFormat="1" applyFont="1" applyBorder="1" applyAlignment="1">
      <alignment horizontal="center"/>
    </xf>
    <xf numFmtId="169" fontId="10" fillId="2" borderId="9" xfId="2" applyNumberFormat="1" applyFont="1" applyFill="1" applyBorder="1" applyAlignment="1">
      <alignment horizontal="center" vertical="top" wrapText="1"/>
    </xf>
    <xf numFmtId="169" fontId="10" fillId="2" borderId="9" xfId="2" applyNumberFormat="1" applyFont="1" applyFill="1" applyBorder="1" applyAlignment="1">
      <alignment horizontal="center" vertical="top"/>
    </xf>
    <xf numFmtId="169" fontId="7" fillId="0" borderId="0" xfId="2" applyNumberFormat="1" applyFont="1" applyAlignment="1">
      <alignment horizontal="center" vertical="top"/>
    </xf>
    <xf numFmtId="169" fontId="8" fillId="0" borderId="9" xfId="2" applyNumberFormat="1" applyFont="1" applyBorder="1" applyAlignment="1">
      <alignment horizontal="center" vertical="top" wrapText="1"/>
    </xf>
    <xf numFmtId="169" fontId="7" fillId="0" borderId="9" xfId="2" applyNumberFormat="1" applyFont="1" applyBorder="1"/>
    <xf numFmtId="169" fontId="7" fillId="0" borderId="9" xfId="2" applyNumberFormat="1" applyFont="1" applyBorder="1" applyAlignment="1">
      <alignment vertical="center"/>
    </xf>
    <xf numFmtId="169" fontId="7" fillId="0" borderId="0" xfId="2" applyNumberFormat="1" applyFont="1" applyAlignment="1">
      <alignment vertical="center"/>
    </xf>
    <xf numFmtId="169" fontId="7" fillId="0" borderId="10" xfId="2" applyNumberFormat="1" applyFont="1" applyBorder="1"/>
    <xf numFmtId="169" fontId="8" fillId="0" borderId="1" xfId="2" applyNumberFormat="1" applyFont="1" applyBorder="1"/>
    <xf numFmtId="169" fontId="7" fillId="0" borderId="0" xfId="2" applyNumberFormat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5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2" sqref="G2"/>
    </sheetView>
  </sheetViews>
  <sheetFormatPr defaultRowHeight="12.75" x14ac:dyDescent="0.2"/>
  <cols>
    <col min="1" max="1" width="10.5703125" style="28" bestFit="1" customWidth="1"/>
    <col min="2" max="2" width="7.28515625" style="28" customWidth="1"/>
    <col min="3" max="3" width="20.28515625" style="28" customWidth="1"/>
    <col min="4" max="7" width="12.7109375" style="47" customWidth="1"/>
    <col min="8" max="8" width="13.42578125" style="47" bestFit="1" customWidth="1"/>
    <col min="9" max="13" width="12.7109375" style="47" customWidth="1"/>
    <col min="14" max="14" width="14.7109375" style="47" customWidth="1"/>
    <col min="15" max="15" width="12.7109375" style="47" customWidth="1"/>
    <col min="16" max="16" width="9.140625" style="47"/>
    <col min="17" max="18" width="12" style="47" bestFit="1" customWidth="1"/>
    <col min="19" max="19" width="13.85546875" style="47" bestFit="1" customWidth="1"/>
    <col min="20" max="20" width="10.140625" style="47" bestFit="1" customWidth="1"/>
    <col min="21" max="16384" width="9.140625" style="28"/>
  </cols>
  <sheetData>
    <row r="1" spans="2:20" x14ac:dyDescent="0.2">
      <c r="G1" s="48"/>
    </row>
    <row r="2" spans="2:20" x14ac:dyDescent="0.2">
      <c r="B2" s="30" t="s">
        <v>44</v>
      </c>
      <c r="C2" s="31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2:20" x14ac:dyDescent="0.2">
      <c r="B3" s="32" t="s">
        <v>63</v>
      </c>
      <c r="C3" s="33"/>
      <c r="D3" s="49"/>
      <c r="E3" s="49"/>
      <c r="F3" s="49"/>
      <c r="G3" s="49"/>
      <c r="H3" s="49"/>
      <c r="I3" s="49"/>
      <c r="J3" s="49"/>
      <c r="K3" s="49"/>
      <c r="L3" s="49"/>
      <c r="M3" s="49"/>
      <c r="N3" s="48"/>
      <c r="O3" s="50" t="s">
        <v>50</v>
      </c>
      <c r="Q3" s="51" t="s">
        <v>74</v>
      </c>
      <c r="R3" s="51"/>
      <c r="S3" s="51"/>
    </row>
    <row r="4" spans="2:20" s="36" customFormat="1" ht="45" customHeight="1" x14ac:dyDescent="0.25">
      <c r="B4" s="34" t="s">
        <v>0</v>
      </c>
      <c r="C4" s="35" t="s">
        <v>1</v>
      </c>
      <c r="D4" s="52" t="s">
        <v>64</v>
      </c>
      <c r="E4" s="52" t="s">
        <v>40</v>
      </c>
      <c r="F4" s="53" t="s">
        <v>53</v>
      </c>
      <c r="G4" s="52" t="s">
        <v>41</v>
      </c>
      <c r="H4" s="52" t="s">
        <v>42</v>
      </c>
      <c r="I4" s="52" t="s">
        <v>43</v>
      </c>
      <c r="J4" s="52" t="s">
        <v>46</v>
      </c>
      <c r="K4" s="52" t="s">
        <v>47</v>
      </c>
      <c r="L4" s="52" t="s">
        <v>69</v>
      </c>
      <c r="M4" s="52" t="s">
        <v>49</v>
      </c>
      <c r="N4" s="52" t="s">
        <v>57</v>
      </c>
      <c r="O4" s="52" t="s">
        <v>65</v>
      </c>
      <c r="P4" s="54"/>
      <c r="Q4" s="55" t="s">
        <v>71</v>
      </c>
      <c r="R4" s="55" t="s">
        <v>72</v>
      </c>
      <c r="S4" s="55" t="s">
        <v>73</v>
      </c>
      <c r="T4" s="54"/>
    </row>
    <row r="5" spans="2:20" x14ac:dyDescent="0.2">
      <c r="B5" s="37" t="s">
        <v>28</v>
      </c>
      <c r="C5" s="38" t="s">
        <v>2</v>
      </c>
      <c r="D5" s="56">
        <v>3865</v>
      </c>
      <c r="E5" s="56">
        <f>32*12</f>
        <v>384</v>
      </c>
      <c r="F5" s="56">
        <f>380*12</f>
        <v>4560</v>
      </c>
      <c r="G5" s="56">
        <f>240*12</f>
        <v>2880</v>
      </c>
      <c r="H5" s="56">
        <v>0</v>
      </c>
      <c r="I5" s="56">
        <v>0</v>
      </c>
      <c r="J5" s="56">
        <v>0</v>
      </c>
      <c r="K5" s="56">
        <v>1880</v>
      </c>
      <c r="L5" s="56">
        <v>0</v>
      </c>
      <c r="M5" s="56">
        <f>SUM(D5:L5)</f>
        <v>13569</v>
      </c>
      <c r="N5" s="56">
        <f>+M5-2569</f>
        <v>11000</v>
      </c>
      <c r="O5" s="56">
        <f>+M5-N5</f>
        <v>2569</v>
      </c>
      <c r="Q5" s="56">
        <f>SUM(E5:G5)/12</f>
        <v>652</v>
      </c>
      <c r="R5" s="56">
        <f>K5</f>
        <v>1880</v>
      </c>
      <c r="S5" s="56">
        <f>SUM(H5:J5)+L5</f>
        <v>0</v>
      </c>
      <c r="T5" s="47">
        <f>Q5*12+SUM(R5:S5)+D5-M5</f>
        <v>0</v>
      </c>
    </row>
    <row r="6" spans="2:20" x14ac:dyDescent="0.2">
      <c r="B6" s="39" t="s">
        <v>29</v>
      </c>
      <c r="C6" s="40" t="s">
        <v>2</v>
      </c>
      <c r="D6" s="56">
        <v>1735</v>
      </c>
      <c r="E6" s="56">
        <f>24*12</f>
        <v>288</v>
      </c>
      <c r="F6" s="56">
        <f t="shared" ref="F6:F33" si="0">380*12</f>
        <v>4560</v>
      </c>
      <c r="G6" s="56">
        <f>199*12</f>
        <v>2388</v>
      </c>
      <c r="H6" s="56">
        <v>0</v>
      </c>
      <c r="I6" s="56">
        <v>0</v>
      </c>
      <c r="J6" s="56">
        <v>0</v>
      </c>
      <c r="K6" s="56">
        <v>1500</v>
      </c>
      <c r="L6" s="56">
        <v>0</v>
      </c>
      <c r="M6" s="56">
        <f t="shared" ref="M6:M33" si="1">SUM(D6:L6)</f>
        <v>10471</v>
      </c>
      <c r="N6" s="56">
        <f>+M6-1471</f>
        <v>9000</v>
      </c>
      <c r="O6" s="56">
        <f t="shared" ref="O6:O33" si="2">+M6-N6</f>
        <v>1471</v>
      </c>
      <c r="Q6" s="56">
        <f t="shared" ref="Q6:Q33" si="3">SUM(E6:G6)/12</f>
        <v>603</v>
      </c>
      <c r="R6" s="56">
        <f t="shared" ref="R6:R33" si="4">K6</f>
        <v>1500</v>
      </c>
      <c r="S6" s="56">
        <f t="shared" ref="S6:S33" si="5">SUM(H6:J6)+L6</f>
        <v>0</v>
      </c>
      <c r="T6" s="47">
        <f t="shared" ref="T6:T33" si="6">Q6*12+SUM(R6:S6)+D6-M6</f>
        <v>0</v>
      </c>
    </row>
    <row r="7" spans="2:20" x14ac:dyDescent="0.2">
      <c r="B7" s="39" t="s">
        <v>30</v>
      </c>
      <c r="C7" s="40" t="s">
        <v>62</v>
      </c>
      <c r="D7" s="56">
        <v>150</v>
      </c>
      <c r="E7" s="56">
        <f>25*12</f>
        <v>300</v>
      </c>
      <c r="F7" s="56">
        <f t="shared" si="0"/>
        <v>4560</v>
      </c>
      <c r="G7" s="56">
        <f>170*12</f>
        <v>2040</v>
      </c>
      <c r="H7" s="56">
        <v>3600</v>
      </c>
      <c r="I7" s="56">
        <v>0</v>
      </c>
      <c r="J7" s="56">
        <v>25</v>
      </c>
      <c r="K7" s="56">
        <v>1400</v>
      </c>
      <c r="L7" s="56">
        <v>0</v>
      </c>
      <c r="M7" s="56">
        <f t="shared" si="1"/>
        <v>12075</v>
      </c>
      <c r="N7" s="56">
        <f>+M7-75</f>
        <v>12000</v>
      </c>
      <c r="O7" s="56">
        <f t="shared" si="2"/>
        <v>75</v>
      </c>
      <c r="Q7" s="56">
        <f t="shared" si="3"/>
        <v>575</v>
      </c>
      <c r="R7" s="56">
        <f t="shared" si="4"/>
        <v>1400</v>
      </c>
      <c r="S7" s="56">
        <f t="shared" si="5"/>
        <v>3625</v>
      </c>
      <c r="T7" s="47">
        <f t="shared" si="6"/>
        <v>0</v>
      </c>
    </row>
    <row r="8" spans="2:20" x14ac:dyDescent="0.2">
      <c r="B8" s="39" t="s">
        <v>31</v>
      </c>
      <c r="C8" s="40" t="s">
        <v>55</v>
      </c>
      <c r="D8" s="56">
        <v>0</v>
      </c>
      <c r="E8" s="56">
        <f>30*12</f>
        <v>360</v>
      </c>
      <c r="F8" s="56">
        <f t="shared" si="0"/>
        <v>4560</v>
      </c>
      <c r="G8" s="56">
        <f>240*12</f>
        <v>2880</v>
      </c>
      <c r="H8" s="56">
        <v>0</v>
      </c>
      <c r="I8" s="56">
        <v>0</v>
      </c>
      <c r="J8" s="56">
        <v>0</v>
      </c>
      <c r="K8" s="56">
        <v>1900</v>
      </c>
      <c r="L8" s="56">
        <v>0</v>
      </c>
      <c r="M8" s="56">
        <f t="shared" si="1"/>
        <v>9700</v>
      </c>
      <c r="N8" s="57">
        <f>+M8</f>
        <v>9700</v>
      </c>
      <c r="O8" s="56">
        <f t="shared" si="2"/>
        <v>0</v>
      </c>
      <c r="Q8" s="56">
        <f t="shared" si="3"/>
        <v>650</v>
      </c>
      <c r="R8" s="56">
        <f t="shared" si="4"/>
        <v>1900</v>
      </c>
      <c r="S8" s="56">
        <f t="shared" si="5"/>
        <v>0</v>
      </c>
      <c r="T8" s="47">
        <f t="shared" si="6"/>
        <v>0</v>
      </c>
    </row>
    <row r="9" spans="2:20" s="43" customFormat="1" ht="25.5" x14ac:dyDescent="0.2">
      <c r="B9" s="41" t="s">
        <v>32</v>
      </c>
      <c r="C9" s="42" t="s">
        <v>58</v>
      </c>
      <c r="D9" s="57">
        <v>0</v>
      </c>
      <c r="E9" s="57">
        <f>22*12</f>
        <v>264</v>
      </c>
      <c r="F9" s="57">
        <f t="shared" si="0"/>
        <v>4560</v>
      </c>
      <c r="G9" s="57">
        <f>161*12</f>
        <v>1932</v>
      </c>
      <c r="H9" s="56">
        <v>0</v>
      </c>
      <c r="I9" s="57">
        <v>0</v>
      </c>
      <c r="J9" s="56">
        <v>0</v>
      </c>
      <c r="K9" s="57">
        <v>1360</v>
      </c>
      <c r="L9" s="57">
        <v>0</v>
      </c>
      <c r="M9" s="57">
        <f t="shared" si="1"/>
        <v>8116</v>
      </c>
      <c r="N9" s="57">
        <f>+M9</f>
        <v>8116</v>
      </c>
      <c r="O9" s="57">
        <f t="shared" si="2"/>
        <v>0</v>
      </c>
      <c r="P9" s="58"/>
      <c r="Q9" s="56">
        <f t="shared" si="3"/>
        <v>563</v>
      </c>
      <c r="R9" s="56">
        <f t="shared" si="4"/>
        <v>1360</v>
      </c>
      <c r="S9" s="56">
        <f t="shared" si="5"/>
        <v>0</v>
      </c>
      <c r="T9" s="47">
        <f t="shared" si="6"/>
        <v>0</v>
      </c>
    </row>
    <row r="10" spans="2:20" x14ac:dyDescent="0.2">
      <c r="B10" s="39" t="s">
        <v>33</v>
      </c>
      <c r="C10" s="40" t="s">
        <v>54</v>
      </c>
      <c r="D10" s="56">
        <v>0</v>
      </c>
      <c r="E10" s="56">
        <f>28*12</f>
        <v>336</v>
      </c>
      <c r="F10" s="56">
        <f t="shared" si="0"/>
        <v>4560</v>
      </c>
      <c r="G10" s="56">
        <f>292*12</f>
        <v>3504</v>
      </c>
      <c r="H10" s="56">
        <v>0</v>
      </c>
      <c r="I10" s="56">
        <v>0</v>
      </c>
      <c r="J10" s="56">
        <v>25</v>
      </c>
      <c r="K10" s="56">
        <v>2140</v>
      </c>
      <c r="L10" s="56">
        <v>0</v>
      </c>
      <c r="M10" s="56">
        <f t="shared" si="1"/>
        <v>10565</v>
      </c>
      <c r="N10" s="57">
        <f>+M10</f>
        <v>10565</v>
      </c>
      <c r="O10" s="56">
        <f t="shared" si="2"/>
        <v>0</v>
      </c>
      <c r="Q10" s="56">
        <f t="shared" si="3"/>
        <v>700</v>
      </c>
      <c r="R10" s="56">
        <f t="shared" si="4"/>
        <v>2140</v>
      </c>
      <c r="S10" s="56">
        <f t="shared" si="5"/>
        <v>25</v>
      </c>
      <c r="T10" s="47">
        <f t="shared" si="6"/>
        <v>0</v>
      </c>
    </row>
    <row r="11" spans="2:20" x14ac:dyDescent="0.2">
      <c r="B11" s="44">
        <v>101</v>
      </c>
      <c r="C11" s="40" t="s">
        <v>6</v>
      </c>
      <c r="D11" s="56">
        <v>0</v>
      </c>
      <c r="E11" s="56">
        <f>25*12</f>
        <v>300</v>
      </c>
      <c r="F11" s="56">
        <f t="shared" si="0"/>
        <v>4560</v>
      </c>
      <c r="G11" s="56">
        <f>240*12</f>
        <v>2880</v>
      </c>
      <c r="H11" s="56">
        <v>0</v>
      </c>
      <c r="I11" s="56">
        <f>25*12</f>
        <v>300</v>
      </c>
      <c r="J11" s="56">
        <v>0</v>
      </c>
      <c r="K11" s="56">
        <v>1880</v>
      </c>
      <c r="L11" s="56">
        <v>0</v>
      </c>
      <c r="M11" s="56">
        <f t="shared" si="1"/>
        <v>9920</v>
      </c>
      <c r="N11" s="57">
        <f>+M11</f>
        <v>9920</v>
      </c>
      <c r="O11" s="56">
        <f t="shared" si="2"/>
        <v>0</v>
      </c>
      <c r="Q11" s="56">
        <f t="shared" si="3"/>
        <v>645</v>
      </c>
      <c r="R11" s="56">
        <f t="shared" si="4"/>
        <v>1880</v>
      </c>
      <c r="S11" s="56">
        <f t="shared" si="5"/>
        <v>300</v>
      </c>
      <c r="T11" s="47">
        <f t="shared" si="6"/>
        <v>0</v>
      </c>
    </row>
    <row r="12" spans="2:20" x14ac:dyDescent="0.2">
      <c r="B12" s="44">
        <v>102</v>
      </c>
      <c r="C12" s="40" t="s">
        <v>51</v>
      </c>
      <c r="D12" s="56">
        <v>1200</v>
      </c>
      <c r="E12" s="56">
        <f>24*12</f>
        <v>288</v>
      </c>
      <c r="F12" s="56">
        <f t="shared" si="0"/>
        <v>4560</v>
      </c>
      <c r="G12" s="56">
        <f>199*12</f>
        <v>2388</v>
      </c>
      <c r="H12" s="56">
        <v>3600</v>
      </c>
      <c r="I12" s="56">
        <v>0</v>
      </c>
      <c r="J12" s="56">
        <v>0</v>
      </c>
      <c r="K12" s="56">
        <v>1500</v>
      </c>
      <c r="L12" s="56">
        <v>0</v>
      </c>
      <c r="M12" s="56">
        <f t="shared" si="1"/>
        <v>13536</v>
      </c>
      <c r="N12" s="56">
        <f>+M12</f>
        <v>13536</v>
      </c>
      <c r="O12" s="56">
        <f t="shared" si="2"/>
        <v>0</v>
      </c>
      <c r="Q12" s="56">
        <f t="shared" si="3"/>
        <v>603</v>
      </c>
      <c r="R12" s="56">
        <f t="shared" si="4"/>
        <v>1500</v>
      </c>
      <c r="S12" s="56">
        <f t="shared" si="5"/>
        <v>3600</v>
      </c>
      <c r="T12" s="47">
        <f t="shared" si="6"/>
        <v>0</v>
      </c>
    </row>
    <row r="13" spans="2:20" x14ac:dyDescent="0.2">
      <c r="B13" s="44">
        <v>103</v>
      </c>
      <c r="C13" s="40" t="s">
        <v>8</v>
      </c>
      <c r="D13" s="56">
        <v>1594</v>
      </c>
      <c r="E13" s="56">
        <f>42*12</f>
        <v>504</v>
      </c>
      <c r="F13" s="56">
        <f t="shared" si="0"/>
        <v>4560</v>
      </c>
      <c r="G13" s="56">
        <f>170*12</f>
        <v>2040</v>
      </c>
      <c r="H13" s="56">
        <v>0</v>
      </c>
      <c r="I13" s="56">
        <v>0</v>
      </c>
      <c r="J13" s="56">
        <v>0</v>
      </c>
      <c r="K13" s="56">
        <v>1560</v>
      </c>
      <c r="L13" s="56">
        <v>0</v>
      </c>
      <c r="M13" s="56">
        <f t="shared" si="1"/>
        <v>10258</v>
      </c>
      <c r="N13" s="57">
        <f>+M13-1594</f>
        <v>8664</v>
      </c>
      <c r="O13" s="56">
        <f t="shared" si="2"/>
        <v>1594</v>
      </c>
      <c r="Q13" s="56">
        <f t="shared" si="3"/>
        <v>592</v>
      </c>
      <c r="R13" s="56">
        <f t="shared" si="4"/>
        <v>1560</v>
      </c>
      <c r="S13" s="56">
        <f t="shared" si="5"/>
        <v>0</v>
      </c>
      <c r="T13" s="47">
        <f t="shared" si="6"/>
        <v>0</v>
      </c>
    </row>
    <row r="14" spans="2:20" x14ac:dyDescent="0.2">
      <c r="B14" s="44">
        <v>104</v>
      </c>
      <c r="C14" s="40" t="s">
        <v>61</v>
      </c>
      <c r="D14" s="56">
        <v>3775</v>
      </c>
      <c r="E14" s="56">
        <f>30*12</f>
        <v>360</v>
      </c>
      <c r="F14" s="56">
        <f t="shared" si="0"/>
        <v>4560</v>
      </c>
      <c r="G14" s="56">
        <f>240*12</f>
        <v>2880</v>
      </c>
      <c r="H14" s="56">
        <v>0</v>
      </c>
      <c r="I14" s="56">
        <f>25*12</f>
        <v>300</v>
      </c>
      <c r="J14" s="56">
        <v>0</v>
      </c>
      <c r="K14" s="56">
        <v>1900</v>
      </c>
      <c r="L14" s="56">
        <v>0</v>
      </c>
      <c r="M14" s="56">
        <f t="shared" si="1"/>
        <v>13775</v>
      </c>
      <c r="N14" s="57">
        <f>+M14-3775</f>
        <v>10000</v>
      </c>
      <c r="O14" s="56">
        <f t="shared" si="2"/>
        <v>3775</v>
      </c>
      <c r="Q14" s="56">
        <f t="shared" si="3"/>
        <v>650</v>
      </c>
      <c r="R14" s="56">
        <f t="shared" si="4"/>
        <v>1900</v>
      </c>
      <c r="S14" s="56">
        <f t="shared" si="5"/>
        <v>300</v>
      </c>
      <c r="T14" s="47">
        <f t="shared" si="6"/>
        <v>0</v>
      </c>
    </row>
    <row r="15" spans="2:20" x14ac:dyDescent="0.2">
      <c r="B15" s="39" t="s">
        <v>34</v>
      </c>
      <c r="C15" s="40" t="s">
        <v>10</v>
      </c>
      <c r="D15" s="56">
        <v>20</v>
      </c>
      <c r="E15" s="56">
        <f>46*12</f>
        <v>552</v>
      </c>
      <c r="F15" s="56">
        <f>460*12</f>
        <v>5520</v>
      </c>
      <c r="G15" s="56">
        <f>464*12</f>
        <v>5568</v>
      </c>
      <c r="H15" s="56">
        <v>0</v>
      </c>
      <c r="I15" s="56">
        <f>25*12</f>
        <v>300</v>
      </c>
      <c r="J15" s="56">
        <v>0</v>
      </c>
      <c r="K15" s="56">
        <v>3500</v>
      </c>
      <c r="L15" s="56">
        <v>0</v>
      </c>
      <c r="M15" s="56">
        <f t="shared" si="1"/>
        <v>15460</v>
      </c>
      <c r="N15" s="57">
        <f>+M15</f>
        <v>15460</v>
      </c>
      <c r="O15" s="56">
        <f t="shared" si="2"/>
        <v>0</v>
      </c>
      <c r="Q15" s="56">
        <f t="shared" si="3"/>
        <v>970</v>
      </c>
      <c r="R15" s="56">
        <f t="shared" si="4"/>
        <v>3500</v>
      </c>
      <c r="S15" s="56">
        <f t="shared" si="5"/>
        <v>300</v>
      </c>
      <c r="T15" s="47">
        <f t="shared" si="6"/>
        <v>0</v>
      </c>
    </row>
    <row r="16" spans="2:20" x14ac:dyDescent="0.2">
      <c r="B16" s="44">
        <v>201</v>
      </c>
      <c r="C16" s="40" t="s">
        <v>66</v>
      </c>
      <c r="D16" s="56">
        <v>0</v>
      </c>
      <c r="E16" s="56">
        <f>25*12</f>
        <v>300</v>
      </c>
      <c r="F16" s="56">
        <f t="shared" si="0"/>
        <v>4560</v>
      </c>
      <c r="G16" s="56">
        <f>240*12</f>
        <v>2880</v>
      </c>
      <c r="H16" s="56">
        <v>0</v>
      </c>
      <c r="I16" s="56">
        <v>0</v>
      </c>
      <c r="J16" s="56">
        <v>0</v>
      </c>
      <c r="K16" s="56">
        <v>1880</v>
      </c>
      <c r="L16" s="56">
        <v>25000</v>
      </c>
      <c r="M16" s="56">
        <f t="shared" si="1"/>
        <v>34620</v>
      </c>
      <c r="N16" s="57">
        <f>+M16-1880</f>
        <v>32740</v>
      </c>
      <c r="O16" s="56">
        <f t="shared" si="2"/>
        <v>1880</v>
      </c>
      <c r="Q16" s="56">
        <f t="shared" si="3"/>
        <v>645</v>
      </c>
      <c r="R16" s="56">
        <f t="shared" si="4"/>
        <v>1880</v>
      </c>
      <c r="S16" s="56">
        <f t="shared" si="5"/>
        <v>25000</v>
      </c>
      <c r="T16" s="47">
        <f t="shared" si="6"/>
        <v>0</v>
      </c>
    </row>
    <row r="17" spans="2:20" x14ac:dyDescent="0.2">
      <c r="B17" s="44">
        <v>202</v>
      </c>
      <c r="C17" s="40" t="s">
        <v>12</v>
      </c>
      <c r="D17" s="56">
        <v>-1809</v>
      </c>
      <c r="E17" s="56">
        <f>24*12</f>
        <v>288</v>
      </c>
      <c r="F17" s="56">
        <f t="shared" si="0"/>
        <v>4560</v>
      </c>
      <c r="G17" s="56">
        <f>199*12</f>
        <v>2388</v>
      </c>
      <c r="H17" s="56">
        <v>0</v>
      </c>
      <c r="I17" s="56">
        <v>0</v>
      </c>
      <c r="J17" s="56">
        <v>0</v>
      </c>
      <c r="K17" s="56">
        <v>1500</v>
      </c>
      <c r="L17" s="56">
        <v>0</v>
      </c>
      <c r="M17" s="56">
        <f>SUM(D17:L17)</f>
        <v>6927</v>
      </c>
      <c r="N17" s="57">
        <f>+M17-3427</f>
        <v>3500</v>
      </c>
      <c r="O17" s="56">
        <f t="shared" si="2"/>
        <v>3427</v>
      </c>
      <c r="Q17" s="56">
        <f t="shared" si="3"/>
        <v>603</v>
      </c>
      <c r="R17" s="56">
        <f t="shared" si="4"/>
        <v>1500</v>
      </c>
      <c r="S17" s="56">
        <f t="shared" si="5"/>
        <v>0</v>
      </c>
      <c r="T17" s="47">
        <f t="shared" si="6"/>
        <v>0</v>
      </c>
    </row>
    <row r="18" spans="2:20" x14ac:dyDescent="0.2">
      <c r="B18" s="44">
        <v>203</v>
      </c>
      <c r="C18" s="40" t="s">
        <v>13</v>
      </c>
      <c r="D18" s="56">
        <v>125</v>
      </c>
      <c r="E18" s="56">
        <f>21*12</f>
        <v>252</v>
      </c>
      <c r="F18" s="56">
        <f t="shared" si="0"/>
        <v>4560</v>
      </c>
      <c r="G18" s="56">
        <f>170*12</f>
        <v>2040</v>
      </c>
      <c r="H18" s="56">
        <v>0</v>
      </c>
      <c r="I18" s="56">
        <v>0</v>
      </c>
      <c r="J18" s="56">
        <v>0</v>
      </c>
      <c r="K18" s="56">
        <v>1560</v>
      </c>
      <c r="L18" s="56">
        <v>0</v>
      </c>
      <c r="M18" s="56">
        <f t="shared" si="1"/>
        <v>8537</v>
      </c>
      <c r="N18" s="57">
        <f>+M18-75</f>
        <v>8462</v>
      </c>
      <c r="O18" s="56">
        <f t="shared" si="2"/>
        <v>75</v>
      </c>
      <c r="Q18" s="56">
        <f t="shared" si="3"/>
        <v>571</v>
      </c>
      <c r="R18" s="56">
        <f t="shared" si="4"/>
        <v>1560</v>
      </c>
      <c r="S18" s="56">
        <f t="shared" si="5"/>
        <v>0</v>
      </c>
      <c r="T18" s="47">
        <f t="shared" si="6"/>
        <v>0</v>
      </c>
    </row>
    <row r="19" spans="2:20" x14ac:dyDescent="0.2">
      <c r="B19" s="44">
        <v>204</v>
      </c>
      <c r="C19" s="40" t="s">
        <v>14</v>
      </c>
      <c r="D19" s="56">
        <v>18175</v>
      </c>
      <c r="E19" s="56">
        <f>25*12</f>
        <v>300</v>
      </c>
      <c r="F19" s="56">
        <f t="shared" si="0"/>
        <v>4560</v>
      </c>
      <c r="G19" s="56">
        <f>232*12</f>
        <v>2784</v>
      </c>
      <c r="H19" s="56">
        <v>4200</v>
      </c>
      <c r="I19" s="56">
        <f>25*12</f>
        <v>300</v>
      </c>
      <c r="J19" s="56">
        <v>0</v>
      </c>
      <c r="K19" s="56">
        <v>1900</v>
      </c>
      <c r="L19" s="56">
        <v>0</v>
      </c>
      <c r="M19" s="56">
        <f t="shared" si="1"/>
        <v>32219</v>
      </c>
      <c r="N19" s="57">
        <f>+M19-22551</f>
        <v>9668</v>
      </c>
      <c r="O19" s="56">
        <f t="shared" si="2"/>
        <v>22551</v>
      </c>
      <c r="Q19" s="56">
        <f t="shared" si="3"/>
        <v>637</v>
      </c>
      <c r="R19" s="56">
        <f t="shared" si="4"/>
        <v>1900</v>
      </c>
      <c r="S19" s="56">
        <f t="shared" si="5"/>
        <v>4500</v>
      </c>
      <c r="T19" s="47">
        <f t="shared" si="6"/>
        <v>0</v>
      </c>
    </row>
    <row r="20" spans="2:20" x14ac:dyDescent="0.2">
      <c r="B20" s="44">
        <v>205</v>
      </c>
      <c r="C20" s="40" t="s">
        <v>70</v>
      </c>
      <c r="D20" s="56">
        <v>0</v>
      </c>
      <c r="E20" s="56">
        <f>22*12</f>
        <v>264</v>
      </c>
      <c r="F20" s="56">
        <f t="shared" si="0"/>
        <v>4560</v>
      </c>
      <c r="G20" s="56">
        <f>161*12</f>
        <v>1932</v>
      </c>
      <c r="H20" s="56">
        <v>0</v>
      </c>
      <c r="I20" s="56">
        <v>0</v>
      </c>
      <c r="J20" s="56">
        <v>150</v>
      </c>
      <c r="K20" s="56">
        <v>1360</v>
      </c>
      <c r="L20" s="56">
        <v>15000</v>
      </c>
      <c r="M20" s="56">
        <f t="shared" si="1"/>
        <v>23266</v>
      </c>
      <c r="N20" s="57">
        <f>+M20</f>
        <v>23266</v>
      </c>
      <c r="O20" s="56">
        <f t="shared" si="2"/>
        <v>0</v>
      </c>
      <c r="Q20" s="56">
        <f t="shared" si="3"/>
        <v>563</v>
      </c>
      <c r="R20" s="56">
        <f t="shared" si="4"/>
        <v>1360</v>
      </c>
      <c r="S20" s="56">
        <f t="shared" si="5"/>
        <v>15150</v>
      </c>
      <c r="T20" s="47">
        <f t="shared" si="6"/>
        <v>0</v>
      </c>
    </row>
    <row r="21" spans="2:20" x14ac:dyDescent="0.2">
      <c r="B21" s="44">
        <v>206</v>
      </c>
      <c r="C21" s="40" t="s">
        <v>68</v>
      </c>
      <c r="D21" s="56">
        <v>700</v>
      </c>
      <c r="E21" s="56">
        <f>28*12</f>
        <v>336</v>
      </c>
      <c r="F21" s="56">
        <f t="shared" si="0"/>
        <v>4560</v>
      </c>
      <c r="G21" s="56">
        <f>292*12</f>
        <v>3504</v>
      </c>
      <c r="H21" s="56">
        <v>0</v>
      </c>
      <c r="I21" s="56">
        <v>0</v>
      </c>
      <c r="J21" s="56">
        <v>25</v>
      </c>
      <c r="K21" s="56">
        <v>2140</v>
      </c>
      <c r="L21" s="56">
        <v>0</v>
      </c>
      <c r="M21" s="56">
        <f t="shared" si="1"/>
        <v>11265</v>
      </c>
      <c r="N21" s="57">
        <f>+M21</f>
        <v>11265</v>
      </c>
      <c r="O21" s="56">
        <f t="shared" si="2"/>
        <v>0</v>
      </c>
      <c r="Q21" s="56">
        <f t="shared" si="3"/>
        <v>700</v>
      </c>
      <c r="R21" s="56">
        <f t="shared" si="4"/>
        <v>2140</v>
      </c>
      <c r="S21" s="56">
        <f t="shared" si="5"/>
        <v>25</v>
      </c>
      <c r="T21" s="47">
        <f t="shared" si="6"/>
        <v>0</v>
      </c>
    </row>
    <row r="22" spans="2:20" x14ac:dyDescent="0.2">
      <c r="B22" s="44">
        <v>301</v>
      </c>
      <c r="C22" s="40" t="s">
        <v>16</v>
      </c>
      <c r="D22" s="56">
        <v>4280</v>
      </c>
      <c r="E22" s="56">
        <f>25*12</f>
        <v>300</v>
      </c>
      <c r="F22" s="56">
        <f t="shared" si="0"/>
        <v>4560</v>
      </c>
      <c r="G22" s="56">
        <f>240*12</f>
        <v>2880</v>
      </c>
      <c r="H22" s="56">
        <v>4200</v>
      </c>
      <c r="I22" s="56">
        <v>0</v>
      </c>
      <c r="J22" s="56">
        <v>75</v>
      </c>
      <c r="K22" s="56">
        <v>1880</v>
      </c>
      <c r="L22" s="56">
        <v>0</v>
      </c>
      <c r="M22" s="56">
        <f t="shared" si="1"/>
        <v>18175</v>
      </c>
      <c r="N22" s="57">
        <f>+M22-6160</f>
        <v>12015</v>
      </c>
      <c r="O22" s="56">
        <f t="shared" si="2"/>
        <v>6160</v>
      </c>
      <c r="Q22" s="56">
        <f t="shared" si="3"/>
        <v>645</v>
      </c>
      <c r="R22" s="56">
        <f t="shared" si="4"/>
        <v>1880</v>
      </c>
      <c r="S22" s="56">
        <f t="shared" si="5"/>
        <v>4275</v>
      </c>
      <c r="T22" s="47">
        <f t="shared" si="6"/>
        <v>0</v>
      </c>
    </row>
    <row r="23" spans="2:20" x14ac:dyDescent="0.2">
      <c r="B23" s="44">
        <v>302</v>
      </c>
      <c r="C23" s="40" t="s">
        <v>35</v>
      </c>
      <c r="D23" s="56">
        <v>-1213</v>
      </c>
      <c r="E23" s="56">
        <f>24*12</f>
        <v>288</v>
      </c>
      <c r="F23" s="56">
        <f t="shared" si="0"/>
        <v>4560</v>
      </c>
      <c r="G23" s="56">
        <f>199*12</f>
        <v>2388</v>
      </c>
      <c r="H23" s="56">
        <v>3600</v>
      </c>
      <c r="I23" s="56">
        <v>0</v>
      </c>
      <c r="J23" s="56">
        <v>0</v>
      </c>
      <c r="K23" s="56">
        <v>1500</v>
      </c>
      <c r="L23" s="56">
        <v>0</v>
      </c>
      <c r="M23" s="56">
        <f t="shared" si="1"/>
        <v>11123</v>
      </c>
      <c r="N23" s="57">
        <f>+M23-1421</f>
        <v>9702</v>
      </c>
      <c r="O23" s="56">
        <f t="shared" si="2"/>
        <v>1421</v>
      </c>
      <c r="Q23" s="56">
        <f t="shared" si="3"/>
        <v>603</v>
      </c>
      <c r="R23" s="56">
        <f t="shared" si="4"/>
        <v>1500</v>
      </c>
      <c r="S23" s="56">
        <f t="shared" si="5"/>
        <v>3600</v>
      </c>
      <c r="T23" s="47">
        <f t="shared" si="6"/>
        <v>0</v>
      </c>
    </row>
    <row r="24" spans="2:20" x14ac:dyDescent="0.2">
      <c r="B24" s="44">
        <v>303</v>
      </c>
      <c r="C24" s="40" t="s">
        <v>17</v>
      </c>
      <c r="D24" s="56">
        <v>3060</v>
      </c>
      <c r="E24" s="56">
        <f>25*12</f>
        <v>300</v>
      </c>
      <c r="F24" s="56">
        <f t="shared" si="0"/>
        <v>4560</v>
      </c>
      <c r="G24" s="56">
        <f>170*12</f>
        <v>2040</v>
      </c>
      <c r="H24" s="56">
        <v>0</v>
      </c>
      <c r="I24" s="56">
        <v>0</v>
      </c>
      <c r="J24" s="56">
        <v>0</v>
      </c>
      <c r="K24" s="56">
        <v>1480</v>
      </c>
      <c r="L24" s="56">
        <v>0</v>
      </c>
      <c r="M24" s="56">
        <f t="shared" si="1"/>
        <v>11440</v>
      </c>
      <c r="N24" s="57">
        <f>+M24-4540</f>
        <v>6900</v>
      </c>
      <c r="O24" s="56">
        <f t="shared" si="2"/>
        <v>4540</v>
      </c>
      <c r="Q24" s="56">
        <f t="shared" si="3"/>
        <v>575</v>
      </c>
      <c r="R24" s="56">
        <f t="shared" si="4"/>
        <v>1480</v>
      </c>
      <c r="S24" s="56">
        <f t="shared" si="5"/>
        <v>0</v>
      </c>
      <c r="T24" s="47">
        <f t="shared" si="6"/>
        <v>0</v>
      </c>
    </row>
    <row r="25" spans="2:20" x14ac:dyDescent="0.2">
      <c r="B25" s="44">
        <v>304</v>
      </c>
      <c r="C25" s="40" t="s">
        <v>18</v>
      </c>
      <c r="D25" s="56">
        <v>3825</v>
      </c>
      <c r="E25" s="56">
        <f>25*12</f>
        <v>300</v>
      </c>
      <c r="F25" s="56">
        <f t="shared" si="0"/>
        <v>4560</v>
      </c>
      <c r="G25" s="56">
        <f>240*12</f>
        <v>2880</v>
      </c>
      <c r="H25" s="56">
        <v>0</v>
      </c>
      <c r="I25" s="56">
        <v>0</v>
      </c>
      <c r="J25" s="56">
        <v>0</v>
      </c>
      <c r="K25" s="56">
        <v>1900</v>
      </c>
      <c r="L25" s="56">
        <v>0</v>
      </c>
      <c r="M25" s="56">
        <f t="shared" si="1"/>
        <v>13465</v>
      </c>
      <c r="N25" s="57">
        <f>+M25-5725</f>
        <v>7740</v>
      </c>
      <c r="O25" s="56">
        <f t="shared" si="2"/>
        <v>5725</v>
      </c>
      <c r="Q25" s="56">
        <f t="shared" si="3"/>
        <v>645</v>
      </c>
      <c r="R25" s="56">
        <f t="shared" si="4"/>
        <v>1900</v>
      </c>
      <c r="S25" s="56">
        <f t="shared" si="5"/>
        <v>0</v>
      </c>
      <c r="T25" s="47">
        <f t="shared" si="6"/>
        <v>0</v>
      </c>
    </row>
    <row r="26" spans="2:20" x14ac:dyDescent="0.2">
      <c r="B26" s="44">
        <v>305</v>
      </c>
      <c r="C26" s="40" t="s">
        <v>19</v>
      </c>
      <c r="D26" s="56">
        <v>4134</v>
      </c>
      <c r="E26" s="56">
        <f>22*12</f>
        <v>264</v>
      </c>
      <c r="F26" s="56">
        <f t="shared" si="0"/>
        <v>4560</v>
      </c>
      <c r="G26" s="56">
        <f>161*12</f>
        <v>1932</v>
      </c>
      <c r="H26" s="56">
        <v>0</v>
      </c>
      <c r="I26" s="56">
        <f>25*12</f>
        <v>300</v>
      </c>
      <c r="J26" s="56">
        <v>0</v>
      </c>
      <c r="K26" s="56">
        <v>1360</v>
      </c>
      <c r="L26" s="56">
        <v>0</v>
      </c>
      <c r="M26" s="56">
        <f t="shared" si="1"/>
        <v>12550</v>
      </c>
      <c r="N26" s="57">
        <f>+M26-2774</f>
        <v>9776</v>
      </c>
      <c r="O26" s="56">
        <f t="shared" si="2"/>
        <v>2774</v>
      </c>
      <c r="Q26" s="56">
        <f t="shared" si="3"/>
        <v>563</v>
      </c>
      <c r="R26" s="56">
        <f t="shared" si="4"/>
        <v>1360</v>
      </c>
      <c r="S26" s="56">
        <f t="shared" si="5"/>
        <v>300</v>
      </c>
      <c r="T26" s="47">
        <f t="shared" si="6"/>
        <v>0</v>
      </c>
    </row>
    <row r="27" spans="2:20" x14ac:dyDescent="0.2">
      <c r="B27" s="44">
        <v>306</v>
      </c>
      <c r="C27" s="40" t="s">
        <v>59</v>
      </c>
      <c r="D27" s="56">
        <v>2465</v>
      </c>
      <c r="E27" s="56">
        <f>28*12</f>
        <v>336</v>
      </c>
      <c r="F27" s="56">
        <f t="shared" si="0"/>
        <v>4560</v>
      </c>
      <c r="G27" s="56">
        <f>292*12</f>
        <v>3504</v>
      </c>
      <c r="H27" s="56">
        <v>4200</v>
      </c>
      <c r="I27" s="56">
        <v>0</v>
      </c>
      <c r="J27" s="56">
        <v>0</v>
      </c>
      <c r="K27" s="56">
        <v>2140</v>
      </c>
      <c r="L27" s="56">
        <v>0</v>
      </c>
      <c r="M27" s="56">
        <f t="shared" si="1"/>
        <v>17205</v>
      </c>
      <c r="N27" s="57">
        <f>+M27-2465</f>
        <v>14740</v>
      </c>
      <c r="O27" s="56">
        <f t="shared" si="2"/>
        <v>2465</v>
      </c>
      <c r="Q27" s="56">
        <f t="shared" si="3"/>
        <v>700</v>
      </c>
      <c r="R27" s="56">
        <f t="shared" si="4"/>
        <v>2140</v>
      </c>
      <c r="S27" s="56">
        <f t="shared" si="5"/>
        <v>4200</v>
      </c>
      <c r="T27" s="47">
        <f t="shared" si="6"/>
        <v>0</v>
      </c>
    </row>
    <row r="28" spans="2:20" x14ac:dyDescent="0.2">
      <c r="B28" s="44">
        <v>401</v>
      </c>
      <c r="C28" s="40" t="s">
        <v>21</v>
      </c>
      <c r="D28" s="56">
        <v>0</v>
      </c>
      <c r="E28" s="56">
        <f>26*12</f>
        <v>312</v>
      </c>
      <c r="F28" s="56">
        <f t="shared" si="0"/>
        <v>4560</v>
      </c>
      <c r="G28" s="56">
        <f>240*12</f>
        <v>2880</v>
      </c>
      <c r="H28" s="56">
        <v>0</v>
      </c>
      <c r="I28" s="56">
        <v>300</v>
      </c>
      <c r="J28" s="56">
        <v>0</v>
      </c>
      <c r="K28" s="56">
        <v>1880</v>
      </c>
      <c r="L28" s="56">
        <v>0</v>
      </c>
      <c r="M28" s="56">
        <f t="shared" si="1"/>
        <v>9932</v>
      </c>
      <c r="N28" s="57">
        <f t="shared" ref="N28:N29" si="7">+M28</f>
        <v>9932</v>
      </c>
      <c r="O28" s="56">
        <f t="shared" si="2"/>
        <v>0</v>
      </c>
      <c r="Q28" s="56">
        <f t="shared" si="3"/>
        <v>646</v>
      </c>
      <c r="R28" s="56">
        <f t="shared" si="4"/>
        <v>1880</v>
      </c>
      <c r="S28" s="56">
        <f t="shared" si="5"/>
        <v>300</v>
      </c>
      <c r="T28" s="47">
        <f t="shared" si="6"/>
        <v>0</v>
      </c>
    </row>
    <row r="29" spans="2:20" x14ac:dyDescent="0.2">
      <c r="B29" s="44">
        <v>402</v>
      </c>
      <c r="C29" s="40" t="s">
        <v>22</v>
      </c>
      <c r="D29" s="56">
        <v>0</v>
      </c>
      <c r="E29" s="56">
        <f>24*12</f>
        <v>288</v>
      </c>
      <c r="F29" s="56">
        <f t="shared" si="0"/>
        <v>4560</v>
      </c>
      <c r="G29" s="56">
        <f>199*12</f>
        <v>2388</v>
      </c>
      <c r="H29" s="56">
        <v>0</v>
      </c>
      <c r="I29" s="56">
        <v>0</v>
      </c>
      <c r="J29" s="56">
        <v>0</v>
      </c>
      <c r="K29" s="56">
        <v>1500</v>
      </c>
      <c r="L29" s="56">
        <v>0</v>
      </c>
      <c r="M29" s="56">
        <f t="shared" si="1"/>
        <v>8736</v>
      </c>
      <c r="N29" s="57">
        <f t="shared" si="7"/>
        <v>8736</v>
      </c>
      <c r="O29" s="56">
        <f t="shared" si="2"/>
        <v>0</v>
      </c>
      <c r="Q29" s="56">
        <f t="shared" si="3"/>
        <v>603</v>
      </c>
      <c r="R29" s="56">
        <f t="shared" si="4"/>
        <v>1500</v>
      </c>
      <c r="S29" s="56">
        <f t="shared" si="5"/>
        <v>0</v>
      </c>
      <c r="T29" s="47">
        <f t="shared" si="6"/>
        <v>0</v>
      </c>
    </row>
    <row r="30" spans="2:20" x14ac:dyDescent="0.2">
      <c r="B30" s="44">
        <v>403</v>
      </c>
      <c r="C30" s="40" t="s">
        <v>60</v>
      </c>
      <c r="D30" s="56">
        <v>9080</v>
      </c>
      <c r="E30" s="56">
        <f>21*12</f>
        <v>252</v>
      </c>
      <c r="F30" s="56">
        <f t="shared" si="0"/>
        <v>4560</v>
      </c>
      <c r="G30" s="56">
        <f>170*12</f>
        <v>2040</v>
      </c>
      <c r="H30" s="56">
        <v>3600</v>
      </c>
      <c r="I30" s="56">
        <v>0</v>
      </c>
      <c r="J30" s="56">
        <v>0</v>
      </c>
      <c r="K30" s="56">
        <v>1560</v>
      </c>
      <c r="L30" s="56">
        <v>0</v>
      </c>
      <c r="M30" s="56">
        <f t="shared" si="1"/>
        <v>21092</v>
      </c>
      <c r="N30" s="57">
        <f>+M30-14240</f>
        <v>6852</v>
      </c>
      <c r="O30" s="56">
        <f t="shared" si="2"/>
        <v>14240</v>
      </c>
      <c r="Q30" s="56">
        <f t="shared" si="3"/>
        <v>571</v>
      </c>
      <c r="R30" s="56">
        <f t="shared" si="4"/>
        <v>1560</v>
      </c>
      <c r="S30" s="56">
        <f t="shared" si="5"/>
        <v>3600</v>
      </c>
      <c r="T30" s="47">
        <f t="shared" si="6"/>
        <v>0</v>
      </c>
    </row>
    <row r="31" spans="2:20" x14ac:dyDescent="0.2">
      <c r="B31" s="44">
        <v>404</v>
      </c>
      <c r="C31" s="40" t="s">
        <v>67</v>
      </c>
      <c r="D31" s="56">
        <v>-1775</v>
      </c>
      <c r="E31" s="56">
        <f>31*12</f>
        <v>372</v>
      </c>
      <c r="F31" s="56">
        <f t="shared" si="0"/>
        <v>4560</v>
      </c>
      <c r="G31" s="56">
        <f>232*12</f>
        <v>2784</v>
      </c>
      <c r="H31" s="56">
        <v>3150</v>
      </c>
      <c r="I31" s="56">
        <v>0</v>
      </c>
      <c r="J31" s="56">
        <v>0</v>
      </c>
      <c r="K31" s="56">
        <v>1900</v>
      </c>
      <c r="L31" s="56">
        <v>25000</v>
      </c>
      <c r="M31" s="56">
        <f t="shared" si="1"/>
        <v>35991</v>
      </c>
      <c r="N31" s="57">
        <f>+M31-25000</f>
        <v>10991</v>
      </c>
      <c r="O31" s="56">
        <f t="shared" si="2"/>
        <v>25000</v>
      </c>
      <c r="Q31" s="56">
        <f t="shared" si="3"/>
        <v>643</v>
      </c>
      <c r="R31" s="56">
        <f t="shared" si="4"/>
        <v>1900</v>
      </c>
      <c r="S31" s="56">
        <f t="shared" si="5"/>
        <v>28150</v>
      </c>
      <c r="T31" s="47">
        <f t="shared" si="6"/>
        <v>0</v>
      </c>
    </row>
    <row r="32" spans="2:20" x14ac:dyDescent="0.2">
      <c r="B32" s="44">
        <v>405</v>
      </c>
      <c r="C32" s="40" t="s">
        <v>56</v>
      </c>
      <c r="D32" s="56">
        <v>3300</v>
      </c>
      <c r="E32" s="56">
        <f>24*12</f>
        <v>288</v>
      </c>
      <c r="F32" s="56">
        <f t="shared" si="0"/>
        <v>4560</v>
      </c>
      <c r="G32" s="56">
        <f>161*12</f>
        <v>1932</v>
      </c>
      <c r="H32" s="56">
        <v>3600</v>
      </c>
      <c r="I32" s="56">
        <v>0</v>
      </c>
      <c r="J32" s="56">
        <v>0</v>
      </c>
      <c r="K32" s="56">
        <v>1360</v>
      </c>
      <c r="L32" s="56">
        <v>0</v>
      </c>
      <c r="M32" s="56">
        <f t="shared" si="1"/>
        <v>15040</v>
      </c>
      <c r="N32" s="57">
        <f>+M32-8260</f>
        <v>6780</v>
      </c>
      <c r="O32" s="56">
        <f t="shared" si="2"/>
        <v>8260</v>
      </c>
      <c r="Q32" s="56">
        <f t="shared" si="3"/>
        <v>565</v>
      </c>
      <c r="R32" s="56">
        <f t="shared" si="4"/>
        <v>1360</v>
      </c>
      <c r="S32" s="56">
        <f t="shared" si="5"/>
        <v>3600</v>
      </c>
      <c r="T32" s="47">
        <f t="shared" si="6"/>
        <v>0</v>
      </c>
    </row>
    <row r="33" spans="1:20" x14ac:dyDescent="0.2">
      <c r="B33" s="44">
        <v>406</v>
      </c>
      <c r="C33" s="40" t="s">
        <v>26</v>
      </c>
      <c r="D33" s="56">
        <v>23</v>
      </c>
      <c r="E33" s="56">
        <f>35*12</f>
        <v>420</v>
      </c>
      <c r="F33" s="56">
        <f t="shared" si="0"/>
        <v>4560</v>
      </c>
      <c r="G33" s="56">
        <f>292*12</f>
        <v>3504</v>
      </c>
      <c r="H33" s="56">
        <v>0</v>
      </c>
      <c r="I33" s="56">
        <v>0</v>
      </c>
      <c r="J33" s="56">
        <v>0</v>
      </c>
      <c r="K33" s="59">
        <v>2140</v>
      </c>
      <c r="L33" s="56">
        <v>0</v>
      </c>
      <c r="M33" s="56">
        <f t="shared" si="1"/>
        <v>10647</v>
      </c>
      <c r="N33" s="57">
        <f>+M33-35</f>
        <v>10612</v>
      </c>
      <c r="O33" s="56">
        <f t="shared" si="2"/>
        <v>35</v>
      </c>
      <c r="Q33" s="56">
        <f t="shared" si="3"/>
        <v>707</v>
      </c>
      <c r="R33" s="56">
        <f t="shared" si="4"/>
        <v>2140</v>
      </c>
      <c r="S33" s="56">
        <f t="shared" si="5"/>
        <v>0</v>
      </c>
      <c r="T33" s="47">
        <f t="shared" si="6"/>
        <v>0</v>
      </c>
    </row>
    <row r="34" spans="1:20" s="31" customFormat="1" ht="13.5" thickBot="1" x14ac:dyDescent="0.25">
      <c r="A34" s="29"/>
      <c r="B34" s="45" t="s">
        <v>45</v>
      </c>
      <c r="C34" s="46"/>
      <c r="D34" s="60">
        <f t="shared" ref="D34:O34" si="8">SUM(D5:D33)</f>
        <v>56709</v>
      </c>
      <c r="E34" s="60">
        <f t="shared" si="8"/>
        <v>9396</v>
      </c>
      <c r="F34" s="60">
        <f t="shared" si="8"/>
        <v>133200</v>
      </c>
      <c r="G34" s="60">
        <f t="shared" si="8"/>
        <v>78060</v>
      </c>
      <c r="H34" s="60">
        <f t="shared" si="8"/>
        <v>33750</v>
      </c>
      <c r="I34" s="60">
        <f t="shared" si="8"/>
        <v>1800</v>
      </c>
      <c r="J34" s="60">
        <f t="shared" si="8"/>
        <v>300</v>
      </c>
      <c r="K34" s="60">
        <f t="shared" si="8"/>
        <v>51460</v>
      </c>
      <c r="L34" s="60">
        <f t="shared" si="8"/>
        <v>65000</v>
      </c>
      <c r="M34" s="60">
        <f t="shared" si="8"/>
        <v>429675</v>
      </c>
      <c r="N34" s="60">
        <f t="shared" si="8"/>
        <v>321638</v>
      </c>
      <c r="O34" s="60">
        <f t="shared" si="8"/>
        <v>108037</v>
      </c>
      <c r="P34" s="48"/>
      <c r="Q34" s="60">
        <f>SUM(Q5:Q33)</f>
        <v>18388</v>
      </c>
      <c r="R34" s="60">
        <f t="shared" ref="R34:T34" si="9">SUM(R5:R33)</f>
        <v>51460</v>
      </c>
      <c r="S34" s="60">
        <f t="shared" si="9"/>
        <v>100850</v>
      </c>
      <c r="T34" s="47">
        <f t="shared" si="9"/>
        <v>0</v>
      </c>
    </row>
    <row r="35" spans="1:20" ht="13.5" thickTop="1" x14ac:dyDescent="0.2">
      <c r="E35" s="61"/>
      <c r="F35" s="61"/>
      <c r="G35" s="61"/>
      <c r="H35" s="61"/>
      <c r="I35" s="61"/>
      <c r="J35" s="61"/>
      <c r="K35" s="61"/>
      <c r="L35" s="61"/>
    </row>
  </sheetData>
  <autoFilter ref="A4:O34" xr:uid="{00000000-0001-0000-0000-000000000000}"/>
  <mergeCells count="2">
    <mergeCell ref="B34:C34"/>
    <mergeCell ref="Q3:S3"/>
  </mergeCells>
  <printOptions horizontalCentered="1"/>
  <pageMargins left="0" right="0" top="0.11811023622047245" bottom="0.11811023622047245" header="0.31496062992125984" footer="0.31496062992125984"/>
  <pageSetup paperSize="9" scale="5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J40"/>
  <sheetViews>
    <sheetView topLeftCell="A24" workbookViewId="0">
      <selection activeCell="H38" sqref="H38:I38"/>
    </sheetView>
  </sheetViews>
  <sheetFormatPr defaultColWidth="9.140625" defaultRowHeight="16.5" x14ac:dyDescent="0.3"/>
  <cols>
    <col min="1" max="1" width="9.140625" style="1"/>
    <col min="2" max="2" width="12.140625" style="2" customWidth="1"/>
    <col min="3" max="3" width="40.7109375" style="1" customWidth="1"/>
    <col min="4" max="4" width="15.7109375" style="4" customWidth="1"/>
    <col min="5" max="5" width="15.7109375" style="3" customWidth="1"/>
    <col min="6" max="6" width="9.140625" style="1"/>
    <col min="7" max="7" width="9.85546875" style="1" bestFit="1" customWidth="1"/>
    <col min="8" max="8" width="12.7109375" style="1" bestFit="1" customWidth="1"/>
    <col min="9" max="16384" width="9.140625" style="1"/>
  </cols>
  <sheetData>
    <row r="2" spans="2:10" ht="20.100000000000001" customHeight="1" x14ac:dyDescent="0.3">
      <c r="B2" s="25" t="s">
        <v>38</v>
      </c>
      <c r="C2" s="25"/>
      <c r="D2" s="25"/>
      <c r="E2" s="25"/>
    </row>
    <row r="3" spans="2:10" ht="20.100000000000001" customHeight="1" x14ac:dyDescent="0.3">
      <c r="B3" s="25" t="s">
        <v>52</v>
      </c>
      <c r="C3" s="25"/>
      <c r="D3" s="25"/>
      <c r="E3" s="25"/>
    </row>
    <row r="4" spans="2:10" ht="20.100000000000001" customHeight="1" thickBot="1" x14ac:dyDescent="0.35"/>
    <row r="5" spans="2:10" ht="52.5" thickBot="1" x14ac:dyDescent="0.35">
      <c r="B5" s="5" t="s">
        <v>0</v>
      </c>
      <c r="C5" s="5" t="s">
        <v>1</v>
      </c>
      <c r="D5" s="6" t="s">
        <v>36</v>
      </c>
      <c r="E5" s="6" t="s">
        <v>37</v>
      </c>
    </row>
    <row r="6" spans="2:10" ht="20.100000000000001" customHeight="1" x14ac:dyDescent="0.3">
      <c r="B6" s="7" t="s">
        <v>28</v>
      </c>
      <c r="C6" s="8" t="s">
        <v>2</v>
      </c>
      <c r="D6" s="9">
        <f>1880/4</f>
        <v>470</v>
      </c>
      <c r="E6" s="10">
        <f>+D6*27</f>
        <v>12690</v>
      </c>
      <c r="G6" s="22"/>
    </row>
    <row r="7" spans="2:10" ht="20.100000000000001" customHeight="1" x14ac:dyDescent="0.3">
      <c r="B7" s="11" t="s">
        <v>29</v>
      </c>
      <c r="C7" s="12" t="s">
        <v>2</v>
      </c>
      <c r="D7" s="13">
        <f>1500/4</f>
        <v>375</v>
      </c>
      <c r="E7" s="14">
        <f t="shared" ref="E7:E34" si="0">+D7*27</f>
        <v>10125</v>
      </c>
      <c r="G7" s="22"/>
    </row>
    <row r="8" spans="2:10" ht="20.100000000000001" customHeight="1" x14ac:dyDescent="0.3">
      <c r="B8" s="11" t="s">
        <v>30</v>
      </c>
      <c r="C8" s="12" t="s">
        <v>27</v>
      </c>
      <c r="D8" s="13">
        <f>1400/4</f>
        <v>350</v>
      </c>
      <c r="E8" s="14">
        <f t="shared" si="0"/>
        <v>9450</v>
      </c>
      <c r="G8" s="22"/>
    </row>
    <row r="9" spans="2:10" ht="20.100000000000001" customHeight="1" x14ac:dyDescent="0.3">
      <c r="B9" s="11" t="s">
        <v>31</v>
      </c>
      <c r="C9" s="12" t="s">
        <v>3</v>
      </c>
      <c r="D9" s="13">
        <f>1900/4</f>
        <v>475</v>
      </c>
      <c r="E9" s="14">
        <f t="shared" si="0"/>
        <v>12825</v>
      </c>
      <c r="G9" s="22"/>
    </row>
    <row r="10" spans="2:10" ht="20.100000000000001" customHeight="1" x14ac:dyDescent="0.3">
      <c r="B10" s="11" t="s">
        <v>32</v>
      </c>
      <c r="C10" s="12" t="s">
        <v>4</v>
      </c>
      <c r="D10" s="13">
        <f>1360/4</f>
        <v>340</v>
      </c>
      <c r="E10" s="14">
        <f t="shared" si="0"/>
        <v>9180</v>
      </c>
    </row>
    <row r="11" spans="2:10" ht="20.100000000000001" customHeight="1" x14ac:dyDescent="0.3">
      <c r="B11" s="11" t="s">
        <v>33</v>
      </c>
      <c r="C11" s="12" t="s">
        <v>5</v>
      </c>
      <c r="D11" s="13">
        <f>2140/4</f>
        <v>535</v>
      </c>
      <c r="E11" s="14">
        <f t="shared" si="0"/>
        <v>14445</v>
      </c>
    </row>
    <row r="12" spans="2:10" ht="20.100000000000001" customHeight="1" x14ac:dyDescent="0.3">
      <c r="B12" s="15">
        <v>101</v>
      </c>
      <c r="C12" s="12" t="s">
        <v>6</v>
      </c>
      <c r="D12" s="13">
        <f>1880/4</f>
        <v>470</v>
      </c>
      <c r="E12" s="14">
        <f t="shared" si="0"/>
        <v>12690</v>
      </c>
      <c r="J12" s="23"/>
    </row>
    <row r="13" spans="2:10" ht="20.100000000000001" customHeight="1" x14ac:dyDescent="0.3">
      <c r="B13" s="15">
        <v>102</v>
      </c>
      <c r="C13" s="12" t="s">
        <v>7</v>
      </c>
      <c r="D13" s="13">
        <f>1500/4</f>
        <v>375</v>
      </c>
      <c r="E13" s="14">
        <f t="shared" si="0"/>
        <v>10125</v>
      </c>
    </row>
    <row r="14" spans="2:10" ht="20.100000000000001" customHeight="1" x14ac:dyDescent="0.3">
      <c r="B14" s="15">
        <v>103</v>
      </c>
      <c r="C14" s="12" t="s">
        <v>8</v>
      </c>
      <c r="D14" s="13">
        <f>1560/4</f>
        <v>390</v>
      </c>
      <c r="E14" s="14">
        <f t="shared" si="0"/>
        <v>10530</v>
      </c>
    </row>
    <row r="15" spans="2:10" ht="20.100000000000001" customHeight="1" x14ac:dyDescent="0.3">
      <c r="B15" s="15">
        <v>104</v>
      </c>
      <c r="C15" s="12" t="s">
        <v>9</v>
      </c>
      <c r="D15" s="13">
        <f>1900/4</f>
        <v>475</v>
      </c>
      <c r="E15" s="14">
        <f t="shared" si="0"/>
        <v>12825</v>
      </c>
    </row>
    <row r="16" spans="2:10" ht="20.100000000000001" customHeight="1" x14ac:dyDescent="0.3">
      <c r="B16" s="11" t="s">
        <v>34</v>
      </c>
      <c r="C16" s="12" t="s">
        <v>10</v>
      </c>
      <c r="D16" s="13">
        <f>3500/4</f>
        <v>875</v>
      </c>
      <c r="E16" s="14">
        <f t="shared" si="0"/>
        <v>23625</v>
      </c>
    </row>
    <row r="17" spans="2:5" ht="20.100000000000001" customHeight="1" x14ac:dyDescent="0.3">
      <c r="B17" s="15">
        <v>201</v>
      </c>
      <c r="C17" s="12" t="s">
        <v>11</v>
      </c>
      <c r="D17" s="13">
        <f>1880/4</f>
        <v>470</v>
      </c>
      <c r="E17" s="14">
        <f t="shared" si="0"/>
        <v>12690</v>
      </c>
    </row>
    <row r="18" spans="2:5" ht="20.100000000000001" customHeight="1" x14ac:dyDescent="0.3">
      <c r="B18" s="15">
        <v>202</v>
      </c>
      <c r="C18" s="12" t="s">
        <v>12</v>
      </c>
      <c r="D18" s="13">
        <f>1500/4</f>
        <v>375</v>
      </c>
      <c r="E18" s="14">
        <f t="shared" si="0"/>
        <v>10125</v>
      </c>
    </row>
    <row r="19" spans="2:5" ht="20.100000000000001" customHeight="1" x14ac:dyDescent="0.3">
      <c r="B19" s="15">
        <v>203</v>
      </c>
      <c r="C19" s="12" t="s">
        <v>13</v>
      </c>
      <c r="D19" s="13">
        <f>1560/4</f>
        <v>390</v>
      </c>
      <c r="E19" s="14">
        <f t="shared" si="0"/>
        <v>10530</v>
      </c>
    </row>
    <row r="20" spans="2:5" ht="20.100000000000001" customHeight="1" x14ac:dyDescent="0.3">
      <c r="B20" s="15">
        <v>204</v>
      </c>
      <c r="C20" s="12" t="s">
        <v>14</v>
      </c>
      <c r="D20" s="13">
        <f>1900/4</f>
        <v>475</v>
      </c>
      <c r="E20" s="14">
        <f t="shared" si="0"/>
        <v>12825</v>
      </c>
    </row>
    <row r="21" spans="2:5" ht="20.100000000000001" customHeight="1" x14ac:dyDescent="0.3">
      <c r="B21" s="15">
        <v>205</v>
      </c>
      <c r="C21" s="12" t="s">
        <v>48</v>
      </c>
      <c r="D21" s="13">
        <f>1360/4</f>
        <v>340</v>
      </c>
      <c r="E21" s="14">
        <f t="shared" si="0"/>
        <v>9180</v>
      </c>
    </row>
    <row r="22" spans="2:5" ht="20.100000000000001" customHeight="1" x14ac:dyDescent="0.3">
      <c r="B22" s="15">
        <v>206</v>
      </c>
      <c r="C22" s="12" t="s">
        <v>15</v>
      </c>
      <c r="D22" s="13">
        <f>2140/4</f>
        <v>535</v>
      </c>
      <c r="E22" s="14">
        <f t="shared" si="0"/>
        <v>14445</v>
      </c>
    </row>
    <row r="23" spans="2:5" ht="20.100000000000001" customHeight="1" x14ac:dyDescent="0.3">
      <c r="B23" s="15">
        <v>301</v>
      </c>
      <c r="C23" s="12" t="s">
        <v>16</v>
      </c>
      <c r="D23" s="13">
        <f>1880/4</f>
        <v>470</v>
      </c>
      <c r="E23" s="14">
        <f t="shared" si="0"/>
        <v>12690</v>
      </c>
    </row>
    <row r="24" spans="2:5" ht="20.100000000000001" customHeight="1" x14ac:dyDescent="0.3">
      <c r="B24" s="15">
        <v>302</v>
      </c>
      <c r="C24" s="12" t="s">
        <v>35</v>
      </c>
      <c r="D24" s="13">
        <f>1500/4</f>
        <v>375</v>
      </c>
      <c r="E24" s="14">
        <f t="shared" si="0"/>
        <v>10125</v>
      </c>
    </row>
    <row r="25" spans="2:5" ht="20.100000000000001" customHeight="1" x14ac:dyDescent="0.3">
      <c r="B25" s="15">
        <v>303</v>
      </c>
      <c r="C25" s="12" t="s">
        <v>17</v>
      </c>
      <c r="D25" s="13">
        <f>1480/4</f>
        <v>370</v>
      </c>
      <c r="E25" s="14">
        <f t="shared" si="0"/>
        <v>9990</v>
      </c>
    </row>
    <row r="26" spans="2:5" ht="20.100000000000001" customHeight="1" x14ac:dyDescent="0.3">
      <c r="B26" s="15">
        <v>304</v>
      </c>
      <c r="C26" s="12" t="s">
        <v>18</v>
      </c>
      <c r="D26" s="13">
        <f>1900/4</f>
        <v>475</v>
      </c>
      <c r="E26" s="14">
        <f t="shared" si="0"/>
        <v>12825</v>
      </c>
    </row>
    <row r="27" spans="2:5" ht="20.100000000000001" customHeight="1" x14ac:dyDescent="0.3">
      <c r="B27" s="15">
        <v>305</v>
      </c>
      <c r="C27" s="12" t="s">
        <v>19</v>
      </c>
      <c r="D27" s="13">
        <f>1360/4</f>
        <v>340</v>
      </c>
      <c r="E27" s="14">
        <f t="shared" si="0"/>
        <v>9180</v>
      </c>
    </row>
    <row r="28" spans="2:5" ht="20.100000000000001" customHeight="1" x14ac:dyDescent="0.3">
      <c r="B28" s="15">
        <v>306</v>
      </c>
      <c r="C28" s="12" t="s">
        <v>20</v>
      </c>
      <c r="D28" s="13">
        <f>2140/4</f>
        <v>535</v>
      </c>
      <c r="E28" s="14">
        <f t="shared" si="0"/>
        <v>14445</v>
      </c>
    </row>
    <row r="29" spans="2:5" ht="20.100000000000001" customHeight="1" x14ac:dyDescent="0.3">
      <c r="B29" s="15">
        <v>401</v>
      </c>
      <c r="C29" s="12" t="s">
        <v>21</v>
      </c>
      <c r="D29" s="13">
        <f>1880/4</f>
        <v>470</v>
      </c>
      <c r="E29" s="14">
        <f t="shared" si="0"/>
        <v>12690</v>
      </c>
    </row>
    <row r="30" spans="2:5" ht="20.100000000000001" customHeight="1" x14ac:dyDescent="0.3">
      <c r="B30" s="15">
        <v>402</v>
      </c>
      <c r="C30" s="12" t="s">
        <v>22</v>
      </c>
      <c r="D30" s="13">
        <f>1500/4</f>
        <v>375</v>
      </c>
      <c r="E30" s="14">
        <f t="shared" si="0"/>
        <v>10125</v>
      </c>
    </row>
    <row r="31" spans="2:5" ht="20.100000000000001" customHeight="1" x14ac:dyDescent="0.3">
      <c r="B31" s="15">
        <v>403</v>
      </c>
      <c r="C31" s="12" t="s">
        <v>23</v>
      </c>
      <c r="D31" s="13">
        <f>1560/4</f>
        <v>390</v>
      </c>
      <c r="E31" s="14">
        <f t="shared" si="0"/>
        <v>10530</v>
      </c>
    </row>
    <row r="32" spans="2:5" ht="20.100000000000001" customHeight="1" x14ac:dyDescent="0.3">
      <c r="B32" s="15">
        <v>404</v>
      </c>
      <c r="C32" s="12" t="s">
        <v>24</v>
      </c>
      <c r="D32" s="13">
        <f>1900/4</f>
        <v>475</v>
      </c>
      <c r="E32" s="14">
        <f t="shared" si="0"/>
        <v>12825</v>
      </c>
    </row>
    <row r="33" spans="2:9" ht="20.100000000000001" customHeight="1" x14ac:dyDescent="0.3">
      <c r="B33" s="15">
        <v>405</v>
      </c>
      <c r="C33" s="12" t="s">
        <v>25</v>
      </c>
      <c r="D33" s="13">
        <f>1360/4</f>
        <v>340</v>
      </c>
      <c r="E33" s="14">
        <f t="shared" si="0"/>
        <v>9180</v>
      </c>
    </row>
    <row r="34" spans="2:9" ht="20.100000000000001" customHeight="1" thickBot="1" x14ac:dyDescent="0.35">
      <c r="B34" s="16">
        <v>406</v>
      </c>
      <c r="C34" s="17" t="s">
        <v>26</v>
      </c>
      <c r="D34" s="18">
        <f>2140/4</f>
        <v>535</v>
      </c>
      <c r="E34" s="19">
        <f t="shared" si="0"/>
        <v>14445</v>
      </c>
    </row>
    <row r="38" spans="2:9" s="21" customFormat="1" ht="15.75" thickBot="1" x14ac:dyDescent="0.3">
      <c r="B38" s="26" t="s">
        <v>39</v>
      </c>
      <c r="C38" s="27"/>
      <c r="D38" s="20">
        <f>SUM(D6:D34)</f>
        <v>12865</v>
      </c>
      <c r="E38" s="20">
        <f>SUM(E6:E34)</f>
        <v>347355</v>
      </c>
      <c r="I38" s="24"/>
    </row>
    <row r="39" spans="2:9" ht="17.25" thickTop="1" x14ac:dyDescent="0.3"/>
    <row r="40" spans="2:9" x14ac:dyDescent="0.3">
      <c r="D40" s="4">
        <f>+D38*4</f>
        <v>51460</v>
      </c>
      <c r="E40" s="4">
        <f>+D38*27</f>
        <v>347355</v>
      </c>
    </row>
  </sheetData>
  <mergeCells count="3">
    <mergeCell ref="B2:E2"/>
    <mergeCell ref="B3:E3"/>
    <mergeCell ref="B38:C38"/>
  </mergeCells>
  <printOptions horizontalCentered="1"/>
  <pageMargins left="0.45" right="0.45" top="1" bottom="0.5" header="0.3" footer="0.3"/>
  <pageSetup paperSize="9" scale="9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Member's Contribution</vt:lpstr>
      <vt:lpstr>Repair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Eureka- Finance Manager</cp:lastModifiedBy>
  <cp:lastPrinted>2025-08-31T08:43:41Z</cp:lastPrinted>
  <dcterms:created xsi:type="dcterms:W3CDTF">2016-08-22T15:56:58Z</dcterms:created>
  <dcterms:modified xsi:type="dcterms:W3CDTF">2026-04-04T13:37:12Z</dcterms:modified>
</cp:coreProperties>
</file>